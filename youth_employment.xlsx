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wn\OneDrive\바탕 화면\wdw\"/>
    </mc:Choice>
  </mc:AlternateContent>
  <xr:revisionPtr revIDLastSave="0" documentId="13_ncr:1_{FAD44D7F-DCA6-4BCF-835C-63C27719AE08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데이터" sheetId="1" r:id="rId1"/>
    <sheet name="메타정보" sheetId="2" r:id="rId2"/>
    <sheet name="년도별 정리" sheetId="3" r:id="rId3"/>
  </sheets>
  <calcPr calcId="191029"/>
</workbook>
</file>

<file path=xl/calcChain.xml><?xml version="1.0" encoding="utf-8"?>
<calcChain xmlns="http://schemas.openxmlformats.org/spreadsheetml/2006/main">
  <c r="F6" i="3" l="1"/>
  <c r="F5" i="3"/>
  <c r="G5" i="3" s="1"/>
  <c r="F4" i="3"/>
  <c r="F3" i="3"/>
  <c r="F7" i="3"/>
  <c r="F2" i="3"/>
  <c r="E6" i="3"/>
  <c r="E5" i="3"/>
  <c r="E4" i="3"/>
  <c r="E3" i="3"/>
  <c r="E7" i="3"/>
  <c r="E2" i="3"/>
  <c r="E11" i="3" s="1"/>
  <c r="D7" i="3"/>
  <c r="D6" i="3"/>
  <c r="D5" i="3"/>
  <c r="D4" i="3"/>
  <c r="D3" i="3"/>
  <c r="D2" i="3"/>
  <c r="C6" i="3"/>
  <c r="C5" i="3"/>
  <c r="C4" i="3"/>
  <c r="C3" i="3"/>
  <c r="C7" i="3"/>
  <c r="C2" i="3"/>
  <c r="C11" i="3" s="1"/>
  <c r="E12" i="3" l="1"/>
  <c r="D11" i="3"/>
  <c r="C12" i="3"/>
  <c r="G4" i="3"/>
  <c r="G6" i="3"/>
  <c r="D12" i="3"/>
  <c r="F11" i="3"/>
  <c r="G2" i="3"/>
  <c r="G7" i="3"/>
  <c r="G3" i="3"/>
  <c r="F12" i="3"/>
  <c r="G12" i="3" l="1"/>
  <c r="G11" i="3"/>
</calcChain>
</file>

<file path=xl/sharedStrings.xml><?xml version="1.0" encoding="utf-8"?>
<sst xmlns="http://schemas.openxmlformats.org/spreadsheetml/2006/main" count="113" uniqueCount="67">
  <si>
    <t>시도별</t>
  </si>
  <si>
    <t>연령계층별</t>
  </si>
  <si>
    <t>2022.1/4</t>
  </si>
  <si>
    <t>2022.2/4</t>
  </si>
  <si>
    <t>2022.3/4</t>
  </si>
  <si>
    <t>2022.4/4</t>
  </si>
  <si>
    <t>2023.1/4</t>
  </si>
  <si>
    <t>2023.2/4</t>
  </si>
  <si>
    <t>2023.3/4</t>
  </si>
  <si>
    <t>2023.4/4</t>
  </si>
  <si>
    <t>2024.2/4</t>
  </si>
  <si>
    <t>2024.3/4</t>
  </si>
  <si>
    <t>2024.4/4</t>
  </si>
  <si>
    <t>2025.1/4</t>
  </si>
  <si>
    <t>2025.2/4</t>
  </si>
  <si>
    <t>2025.3/4</t>
  </si>
  <si>
    <t>2025.4/4</t>
  </si>
  <si>
    <t>서울특별시</t>
  </si>
  <si>
    <t>15 - 29세</t>
  </si>
  <si>
    <t>부산광역시</t>
  </si>
  <si>
    <t>대구광역시</t>
  </si>
  <si>
    <t>인천광역시</t>
  </si>
  <si>
    <t>경기도</t>
  </si>
  <si>
    <t>전라북도</t>
  </si>
  <si>
    <t>○ 통계표ID</t>
  </si>
  <si>
    <t>INH_1DA7015S</t>
  </si>
  <si>
    <t>○ 통계표명</t>
  </si>
  <si>
    <t>청년고용률(시도)</t>
  </si>
  <si>
    <t>○ 조회기간</t>
  </si>
  <si>
    <t xml:space="preserve">[분기] 202201~202504  </t>
  </si>
  <si>
    <t>○ 출처</t>
  </si>
  <si>
    <t>「경제활동인구조사」, 국가데이터처</t>
  </si>
  <si>
    <t>○ 자료다운일자</t>
  </si>
  <si>
    <t>2026.04.06 17:30</t>
  </si>
  <si>
    <t>○ 통계표URL</t>
  </si>
  <si>
    <t>https://kosis.kr/statHtml/statHtml.do?orgId=101&amp;tblId=INH_1DA7015S&amp;conn_path=I3</t>
  </si>
  <si>
    <t/>
  </si>
  <si>
    <t>* KOSIS 개편 시 통계표 URL은 달라질 수 있음</t>
  </si>
  <si>
    <t>○ 단위</t>
  </si>
  <si>
    <t>%</t>
  </si>
  <si>
    <t>○ 주석</t>
  </si>
  <si>
    <t>통계표</t>
  </si>
  <si>
    <t>■ &lt;b&gt;자료제공처:&lt;/b&gt; 국가데이터처 지역통계기획팀</t>
  </si>
  <si>
    <t>■ &lt;b&gt;자료원출처:&lt;/b&gt; 국가데이터청 고용통계과(경제활동인구조사)</t>
  </si>
  <si>
    <t>■ &lt;b&gt;자료제공주기:&lt;/b&gt; 분기, 1년</t>
  </si>
  <si>
    <t>■ &lt;b&gt;자료제공시기:&lt;/b&gt; 조사기준분기 익월</t>
  </si>
  <si>
    <t>□ &lt;b&gt;정의&lt;/b&gt;</t>
  </si>
  <si>
    <t xml:space="preserve">  - 청년고용률: 15~29세 인구 중 취업자가 차지하는 비율</t>
  </si>
  <si>
    <t>□ &lt;b&gt;의의&lt;/b&gt;</t>
  </si>
  <si>
    <t xml:space="preserve">  - 청년세대의 경제활동 동향 분석을 통해 거시경제 분석과 인력자원의 개발정책 수립에 필요한 기초 자료를 제공</t>
  </si>
  <si>
    <t>□ &lt;b&gt;산식&lt;/b&gt;</t>
  </si>
  <si>
    <t xml:space="preserve">  - 청년고용률(%)=(15~29세 취업자÷15~29세 인구)×100</t>
  </si>
  <si>
    <t>□ &lt;b&gt;참고사항&lt;/b&gt;</t>
  </si>
  <si>
    <t xml:space="preserve">  - 2015년 인구총조사(등록센서스)결과를 토대로 소급작성된 추계인구의 변경을 반영하여 2018년 1월에 자료를 변경하였음</t>
  </si>
  <si>
    <t>2017년부터 충청남도에서 세종특별자치시를 분리함에 따라 충청남도의 2016년이전과 2017년이후 시계열이 단절되었음. 충청남도의 전년동월대비 비교시 주의 필요</t>
  </si>
  <si>
    <t>2024.1/4</t>
    <phoneticPr fontId="1" type="noConversion"/>
  </si>
  <si>
    <t>권역</t>
    <phoneticPr fontId="1" type="noConversion"/>
  </si>
  <si>
    <t>수도권</t>
    <phoneticPr fontId="1" type="noConversion"/>
  </si>
  <si>
    <t>인천광역시</t>
    <phoneticPr fontId="1" type="noConversion"/>
  </si>
  <si>
    <t>경기도</t>
    <phoneticPr fontId="1" type="noConversion"/>
  </si>
  <si>
    <t>부산광역시</t>
    <phoneticPr fontId="1" type="noConversion"/>
  </si>
  <si>
    <t>대구광역시</t>
    <phoneticPr fontId="1" type="noConversion"/>
  </si>
  <si>
    <t>지방</t>
    <phoneticPr fontId="1" type="noConversion"/>
  </si>
  <si>
    <t>변화폭</t>
    <phoneticPr fontId="1" type="noConversion"/>
  </si>
  <si>
    <t>평균</t>
    <phoneticPr fontId="1" type="noConversion"/>
  </si>
  <si>
    <t>수도권 평균</t>
    <phoneticPr fontId="1" type="noConversion"/>
  </si>
  <si>
    <t>지방 평균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</si>
</sst>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/>
    <xf numFmtId="176" fontId="0" fillId="0" borderId="1" xfId="0" applyNumberFormat="1" applyBorder="1" applyAlignment="1">
      <alignment horizontal="right"/>
    </xf>
    <xf numFmtId="0" fontId="0" fillId="4" borderId="2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workbookViewId="0">
      <selection activeCell="B23" sqref="B23"/>
    </sheetView>
  </sheetViews>
  <sheetFormatPr defaultColWidth="21" defaultRowHeight="16.899999999999999" x14ac:dyDescent="0.6"/>
  <sheetData>
    <row r="1" spans="1:18" ht="20" customHeight="1" x14ac:dyDescent="0.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55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ht="20" customHeight="1" x14ac:dyDescent="0.6">
      <c r="A2" s="4" t="s">
        <v>17</v>
      </c>
      <c r="B2" s="4" t="s">
        <v>18</v>
      </c>
      <c r="C2" s="3">
        <v>51.7</v>
      </c>
      <c r="D2" s="3">
        <v>52.1</v>
      </c>
      <c r="E2" s="3">
        <v>51.9</v>
      </c>
      <c r="F2" s="3">
        <v>50.4</v>
      </c>
      <c r="G2" s="3">
        <v>50.8</v>
      </c>
      <c r="H2" s="3">
        <v>51.4</v>
      </c>
      <c r="I2" s="3">
        <v>52.5</v>
      </c>
      <c r="J2" s="3">
        <v>52.6</v>
      </c>
      <c r="K2" s="3">
        <v>53.3</v>
      </c>
      <c r="L2" s="3">
        <v>50.9</v>
      </c>
      <c r="M2" s="3">
        <v>50.6</v>
      </c>
      <c r="N2" s="3">
        <v>49.9</v>
      </c>
      <c r="O2" s="3">
        <v>48.2</v>
      </c>
      <c r="P2" s="3">
        <v>50.2</v>
      </c>
      <c r="Q2" s="3">
        <v>49.8</v>
      </c>
      <c r="R2" s="3">
        <v>48.2</v>
      </c>
    </row>
    <row r="3" spans="1:18" ht="20" customHeight="1" x14ac:dyDescent="0.6">
      <c r="A3" s="4" t="s">
        <v>19</v>
      </c>
      <c r="B3" s="4" t="s">
        <v>18</v>
      </c>
      <c r="C3" s="3">
        <v>39.799999999999997</v>
      </c>
      <c r="D3" s="3">
        <v>41.8</v>
      </c>
      <c r="E3" s="3">
        <v>43.6</v>
      </c>
      <c r="F3" s="3">
        <v>42.8</v>
      </c>
      <c r="G3" s="3">
        <v>42.8</v>
      </c>
      <c r="H3" s="3">
        <v>43.2</v>
      </c>
      <c r="I3" s="3">
        <v>45.4</v>
      </c>
      <c r="J3" s="3">
        <v>44.1</v>
      </c>
      <c r="K3" s="3">
        <v>45.2</v>
      </c>
      <c r="L3" s="3">
        <v>46.6</v>
      </c>
      <c r="M3" s="3">
        <v>46.7</v>
      </c>
      <c r="N3" s="3">
        <v>46</v>
      </c>
      <c r="O3" s="3">
        <v>43.8</v>
      </c>
      <c r="P3" s="3">
        <v>44</v>
      </c>
      <c r="Q3" s="3">
        <v>44.1</v>
      </c>
      <c r="R3" s="3">
        <v>44.5</v>
      </c>
    </row>
    <row r="4" spans="1:18" ht="20" customHeight="1" x14ac:dyDescent="0.6">
      <c r="A4" s="4" t="s">
        <v>20</v>
      </c>
      <c r="B4" s="4" t="s">
        <v>18</v>
      </c>
      <c r="C4" s="3">
        <v>42</v>
      </c>
      <c r="D4" s="3">
        <v>40.200000000000003</v>
      </c>
      <c r="E4" s="3">
        <v>41.6</v>
      </c>
      <c r="F4" s="3">
        <v>41.1</v>
      </c>
      <c r="G4" s="3">
        <v>41.8</v>
      </c>
      <c r="H4" s="3">
        <v>44.7</v>
      </c>
      <c r="I4" s="3">
        <v>42.4</v>
      </c>
      <c r="J4" s="3">
        <v>40.5</v>
      </c>
      <c r="K4" s="3">
        <v>38.200000000000003</v>
      </c>
      <c r="L4" s="3">
        <v>39.5</v>
      </c>
      <c r="M4" s="3">
        <v>36.6</v>
      </c>
      <c r="N4" s="3">
        <v>35.6</v>
      </c>
      <c r="O4" s="3">
        <v>38</v>
      </c>
      <c r="P4" s="3">
        <v>40.700000000000003</v>
      </c>
      <c r="Q4" s="3">
        <v>39.4</v>
      </c>
      <c r="R4" s="3">
        <v>39.299999999999997</v>
      </c>
    </row>
    <row r="5" spans="1:18" ht="20" customHeight="1" x14ac:dyDescent="0.6">
      <c r="A5" s="4" t="s">
        <v>21</v>
      </c>
      <c r="B5" s="4" t="s">
        <v>18</v>
      </c>
      <c r="C5" s="3">
        <v>48.2</v>
      </c>
      <c r="D5" s="3">
        <v>50.8</v>
      </c>
      <c r="E5" s="3">
        <v>52.4</v>
      </c>
      <c r="F5" s="3">
        <v>51</v>
      </c>
      <c r="G5" s="3">
        <v>49.2</v>
      </c>
      <c r="H5" s="3">
        <v>50.5</v>
      </c>
      <c r="I5" s="3">
        <v>50.4</v>
      </c>
      <c r="J5" s="3">
        <v>46.6</v>
      </c>
      <c r="K5" s="3">
        <v>45.2</v>
      </c>
      <c r="L5" s="3">
        <v>47.4</v>
      </c>
      <c r="M5" s="3">
        <v>49.2</v>
      </c>
      <c r="N5" s="3">
        <v>48</v>
      </c>
      <c r="O5" s="3">
        <v>46</v>
      </c>
      <c r="P5" s="3">
        <v>45.1</v>
      </c>
      <c r="Q5" s="3">
        <v>44.4</v>
      </c>
      <c r="R5" s="3">
        <v>43.6</v>
      </c>
    </row>
    <row r="6" spans="1:18" ht="20" customHeight="1" x14ac:dyDescent="0.6">
      <c r="A6" s="4" t="s">
        <v>22</v>
      </c>
      <c r="B6" s="4" t="s">
        <v>18</v>
      </c>
      <c r="C6" s="3">
        <v>49.3</v>
      </c>
      <c r="D6" s="3">
        <v>51.4</v>
      </c>
      <c r="E6" s="3">
        <v>50.3</v>
      </c>
      <c r="F6" s="3">
        <v>48.9</v>
      </c>
      <c r="G6" s="3">
        <v>49.1</v>
      </c>
      <c r="H6" s="3">
        <v>50.3</v>
      </c>
      <c r="I6" s="3">
        <v>50.1</v>
      </c>
      <c r="J6" s="3">
        <v>50</v>
      </c>
      <c r="K6" s="3">
        <v>49.3</v>
      </c>
      <c r="L6" s="3">
        <v>50.7</v>
      </c>
      <c r="M6" s="3">
        <v>49.9</v>
      </c>
      <c r="N6" s="3">
        <v>47.9</v>
      </c>
      <c r="O6" s="3">
        <v>47.1</v>
      </c>
      <c r="P6" s="3">
        <v>48</v>
      </c>
      <c r="Q6" s="3">
        <v>46.5</v>
      </c>
      <c r="R6" s="3">
        <v>45.1</v>
      </c>
    </row>
    <row r="7" spans="1:18" ht="20" customHeight="1" x14ac:dyDescent="0.6">
      <c r="A7" s="5" t="s">
        <v>23</v>
      </c>
      <c r="B7" s="5" t="s">
        <v>18</v>
      </c>
      <c r="C7" s="3">
        <v>37.200000000000003</v>
      </c>
      <c r="D7" s="3">
        <v>38.799999999999997</v>
      </c>
      <c r="E7" s="3">
        <v>40.4</v>
      </c>
      <c r="F7" s="3">
        <v>38</v>
      </c>
      <c r="G7" s="3">
        <v>38.4</v>
      </c>
      <c r="H7" s="3">
        <v>37.4</v>
      </c>
      <c r="I7" s="3">
        <v>40.1</v>
      </c>
      <c r="J7" s="3">
        <v>39.4</v>
      </c>
      <c r="K7" s="3">
        <v>37.6</v>
      </c>
      <c r="L7" s="3">
        <v>38.1</v>
      </c>
      <c r="M7" s="3">
        <v>38</v>
      </c>
      <c r="N7" s="3">
        <v>38.4</v>
      </c>
      <c r="O7" s="3">
        <v>37.5</v>
      </c>
      <c r="P7" s="3">
        <v>37</v>
      </c>
      <c r="Q7" s="3">
        <v>38.9</v>
      </c>
      <c r="R7" s="3">
        <v>38.5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topLeftCell="A13" workbookViewId="0"/>
  </sheetViews>
  <sheetFormatPr defaultRowHeight="16.899999999999999" x14ac:dyDescent="0.6"/>
  <sheetData>
    <row r="1" spans="1:2" x14ac:dyDescent="0.6">
      <c r="A1" s="6" t="s">
        <v>24</v>
      </c>
      <c r="B1" s="6" t="s">
        <v>25</v>
      </c>
    </row>
    <row r="2" spans="1:2" x14ac:dyDescent="0.6">
      <c r="A2" s="6" t="s">
        <v>26</v>
      </c>
      <c r="B2" s="6" t="s">
        <v>27</v>
      </c>
    </row>
    <row r="3" spans="1:2" x14ac:dyDescent="0.6">
      <c r="A3" s="6" t="s">
        <v>28</v>
      </c>
      <c r="B3" s="6" t="s">
        <v>29</v>
      </c>
    </row>
    <row r="4" spans="1:2" x14ac:dyDescent="0.6">
      <c r="A4" s="6" t="s">
        <v>30</v>
      </c>
      <c r="B4" s="6" t="s">
        <v>31</v>
      </c>
    </row>
    <row r="5" spans="1:2" x14ac:dyDescent="0.6">
      <c r="A5" s="6" t="s">
        <v>32</v>
      </c>
      <c r="B5" s="6" t="s">
        <v>33</v>
      </c>
    </row>
    <row r="6" spans="1:2" x14ac:dyDescent="0.6">
      <c r="A6" s="6" t="s">
        <v>34</v>
      </c>
      <c r="B6" s="6" t="s">
        <v>35</v>
      </c>
    </row>
    <row r="7" spans="1:2" x14ac:dyDescent="0.6">
      <c r="A7" s="6" t="s">
        <v>36</v>
      </c>
      <c r="B7" s="6" t="s">
        <v>37</v>
      </c>
    </row>
    <row r="8" spans="1:2" x14ac:dyDescent="0.6">
      <c r="A8" s="6" t="s">
        <v>38</v>
      </c>
      <c r="B8" s="6" t="s">
        <v>39</v>
      </c>
    </row>
    <row r="9" spans="1:2" x14ac:dyDescent="0.6">
      <c r="A9" s="6" t="s">
        <v>40</v>
      </c>
    </row>
    <row r="10" spans="1:2" x14ac:dyDescent="0.6">
      <c r="A10" s="6" t="s">
        <v>41</v>
      </c>
      <c r="B10" s="6" t="s">
        <v>42</v>
      </c>
    </row>
    <row r="11" spans="1:2" x14ac:dyDescent="0.6">
      <c r="A11" s="6" t="s">
        <v>36</v>
      </c>
      <c r="B11" s="6" t="s">
        <v>43</v>
      </c>
    </row>
    <row r="12" spans="1:2" x14ac:dyDescent="0.6">
      <c r="A12" s="6" t="s">
        <v>36</v>
      </c>
      <c r="B12" s="6" t="s">
        <v>44</v>
      </c>
    </row>
    <row r="13" spans="1:2" x14ac:dyDescent="0.6">
      <c r="A13" s="6" t="s">
        <v>36</v>
      </c>
      <c r="B13" s="6" t="s">
        <v>45</v>
      </c>
    </row>
    <row r="14" spans="1:2" x14ac:dyDescent="0.6">
      <c r="A14" s="6" t="s">
        <v>36</v>
      </c>
      <c r="B14" s="6" t="s">
        <v>36</v>
      </c>
    </row>
    <row r="15" spans="1:2" x14ac:dyDescent="0.6">
      <c r="A15" s="6" t="s">
        <v>36</v>
      </c>
      <c r="B15" s="6" t="s">
        <v>36</v>
      </c>
    </row>
    <row r="16" spans="1:2" x14ac:dyDescent="0.6">
      <c r="A16" s="6" t="s">
        <v>36</v>
      </c>
      <c r="B16" s="6" t="s">
        <v>46</v>
      </c>
    </row>
    <row r="17" spans="1:2" x14ac:dyDescent="0.6">
      <c r="A17" s="6" t="s">
        <v>36</v>
      </c>
      <c r="B17" s="6" t="s">
        <v>47</v>
      </c>
    </row>
    <row r="18" spans="1:2" x14ac:dyDescent="0.6">
      <c r="A18" s="6" t="s">
        <v>36</v>
      </c>
      <c r="B18" s="6" t="s">
        <v>36</v>
      </c>
    </row>
    <row r="19" spans="1:2" x14ac:dyDescent="0.6">
      <c r="A19" s="6" t="s">
        <v>36</v>
      </c>
      <c r="B19" s="6" t="s">
        <v>48</v>
      </c>
    </row>
    <row r="20" spans="1:2" x14ac:dyDescent="0.6">
      <c r="A20" s="6" t="s">
        <v>36</v>
      </c>
      <c r="B20" s="6" t="s">
        <v>49</v>
      </c>
    </row>
    <row r="21" spans="1:2" x14ac:dyDescent="0.6">
      <c r="A21" s="6" t="s">
        <v>36</v>
      </c>
      <c r="B21" s="6" t="s">
        <v>36</v>
      </c>
    </row>
    <row r="22" spans="1:2" x14ac:dyDescent="0.6">
      <c r="A22" s="6" t="s">
        <v>36</v>
      </c>
      <c r="B22" s="6" t="s">
        <v>50</v>
      </c>
    </row>
    <row r="23" spans="1:2" x14ac:dyDescent="0.6">
      <c r="A23" s="6" t="s">
        <v>36</v>
      </c>
      <c r="B23" s="6" t="s">
        <v>51</v>
      </c>
    </row>
    <row r="24" spans="1:2" x14ac:dyDescent="0.6">
      <c r="A24" s="6" t="s">
        <v>36</v>
      </c>
      <c r="B24" s="6" t="s">
        <v>36</v>
      </c>
    </row>
    <row r="25" spans="1:2" x14ac:dyDescent="0.6">
      <c r="A25" s="6" t="s">
        <v>36</v>
      </c>
      <c r="B25" s="6" t="s">
        <v>52</v>
      </c>
    </row>
    <row r="26" spans="1:2" x14ac:dyDescent="0.6">
      <c r="A26" s="6" t="s">
        <v>36</v>
      </c>
      <c r="B26" s="6" t="s">
        <v>53</v>
      </c>
    </row>
    <row r="27" spans="1:2" x14ac:dyDescent="0.6">
      <c r="A27" s="6" t="s">
        <v>36</v>
      </c>
      <c r="B27" s="6" t="s">
        <v>36</v>
      </c>
    </row>
    <row r="28" spans="1:2" x14ac:dyDescent="0.6">
      <c r="A28" s="6" t="s">
        <v>36</v>
      </c>
      <c r="B28" s="6" t="s">
        <v>36</v>
      </c>
    </row>
    <row r="29" spans="1:2" x14ac:dyDescent="0.6">
      <c r="A29" s="6" t="s">
        <v>36</v>
      </c>
      <c r="B29" s="6" t="s">
        <v>36</v>
      </c>
    </row>
    <row r="30" spans="1:2" x14ac:dyDescent="0.6">
      <c r="A30" s="6" t="s">
        <v>36</v>
      </c>
      <c r="B30" s="6" t="s">
        <v>36</v>
      </c>
    </row>
    <row r="31" spans="1:2" x14ac:dyDescent="0.6">
      <c r="A31" s="6" t="s">
        <v>0</v>
      </c>
      <c r="B31" s="6" t="s">
        <v>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18EC-8730-4D2A-BC96-3058D8A75B0A}">
  <dimension ref="A1:G12"/>
  <sheetViews>
    <sheetView tabSelected="1" workbookViewId="0">
      <selection activeCell="B16" sqref="B16"/>
    </sheetView>
  </sheetViews>
  <sheetFormatPr defaultRowHeight="16.899999999999999" x14ac:dyDescent="0.6"/>
  <cols>
    <col min="1" max="2" width="21" customWidth="1"/>
    <col min="3" max="6" width="11" customWidth="1"/>
  </cols>
  <sheetData>
    <row r="1" spans="1:7" x14ac:dyDescent="0.6">
      <c r="A1" s="8" t="s">
        <v>0</v>
      </c>
      <c r="B1" s="8" t="s">
        <v>56</v>
      </c>
      <c r="C1" s="7">
        <v>2022</v>
      </c>
      <c r="D1" s="7">
        <v>2023</v>
      </c>
      <c r="E1" s="7">
        <v>2024</v>
      </c>
      <c r="F1" s="7">
        <v>2025</v>
      </c>
      <c r="G1" s="7" t="s">
        <v>63</v>
      </c>
    </row>
    <row r="2" spans="1:7" x14ac:dyDescent="0.6">
      <c r="A2" s="9" t="s">
        <v>17</v>
      </c>
      <c r="B2" s="9" t="s">
        <v>57</v>
      </c>
      <c r="C2" s="11">
        <f>AVERAGE(데이터!C2:F2)</f>
        <v>51.525000000000006</v>
      </c>
      <c r="D2" s="11">
        <f>AVERAGE(데이터!G2:J2)</f>
        <v>51.824999999999996</v>
      </c>
      <c r="E2" s="11">
        <f>AVERAGE(데이터!K2:N2)</f>
        <v>51.174999999999997</v>
      </c>
      <c r="F2" s="11">
        <f>AVERAGE(데이터!O2:R2)</f>
        <v>49.099999999999994</v>
      </c>
      <c r="G2" s="11">
        <f>F2-C2</f>
        <v>-2.4250000000000114</v>
      </c>
    </row>
    <row r="3" spans="1:7" x14ac:dyDescent="0.6">
      <c r="A3" s="9" t="s">
        <v>58</v>
      </c>
      <c r="B3" s="9" t="s">
        <v>57</v>
      </c>
      <c r="C3" s="11">
        <f>AVERAGE(데이터!C5:F5)</f>
        <v>50.6</v>
      </c>
      <c r="D3" s="11">
        <f>AVERAGE(데이터!G5:J5)</f>
        <v>49.174999999999997</v>
      </c>
      <c r="E3" s="11">
        <f>AVERAGE(데이터!K5:N5)</f>
        <v>47.45</v>
      </c>
      <c r="F3" s="11">
        <f>AVERAGE(데이터!O5:R5)</f>
        <v>44.774999999999999</v>
      </c>
      <c r="G3" s="11">
        <f t="shared" ref="G3:G7" si="0">F3-C3</f>
        <v>-5.8250000000000028</v>
      </c>
    </row>
    <row r="4" spans="1:7" x14ac:dyDescent="0.6">
      <c r="A4" s="9" t="s">
        <v>59</v>
      </c>
      <c r="B4" s="9" t="s">
        <v>57</v>
      </c>
      <c r="C4" s="11">
        <f>AVERAGE(데이터!C6:F6)</f>
        <v>49.975000000000001</v>
      </c>
      <c r="D4" s="11">
        <f>AVERAGE(데이터!G6:J6)</f>
        <v>49.875</v>
      </c>
      <c r="E4" s="11">
        <f>AVERAGE(데이터!K6:N6)</f>
        <v>49.45</v>
      </c>
      <c r="F4" s="11">
        <f>AVERAGE(데이터!O6:R6)</f>
        <v>46.674999999999997</v>
      </c>
      <c r="G4" s="11">
        <f t="shared" si="0"/>
        <v>-3.3000000000000043</v>
      </c>
    </row>
    <row r="5" spans="1:7" x14ac:dyDescent="0.6">
      <c r="A5" s="9" t="s">
        <v>60</v>
      </c>
      <c r="B5" s="9" t="s">
        <v>62</v>
      </c>
      <c r="C5" s="11">
        <f>AVERAGE(데이터!C3:F3)</f>
        <v>42</v>
      </c>
      <c r="D5" s="11">
        <f>AVERAGE(데이터!G3:J3)</f>
        <v>43.875</v>
      </c>
      <c r="E5" s="11">
        <f>AVERAGE(데이터!K3:N3)</f>
        <v>46.125</v>
      </c>
      <c r="F5" s="11">
        <f>AVERAGE(데이터!O3:R3)</f>
        <v>44.1</v>
      </c>
      <c r="G5" s="11">
        <f t="shared" si="0"/>
        <v>2.1000000000000014</v>
      </c>
    </row>
    <row r="6" spans="1:7" x14ac:dyDescent="0.6">
      <c r="A6" s="9" t="s">
        <v>61</v>
      </c>
      <c r="B6" s="9" t="s">
        <v>62</v>
      </c>
      <c r="C6" s="11">
        <f>AVERAGE(데이터!C4:F4)</f>
        <v>41.225000000000001</v>
      </c>
      <c r="D6" s="11">
        <f>AVERAGE(데이터!G4:J4)</f>
        <v>42.35</v>
      </c>
      <c r="E6" s="11">
        <f>AVERAGE(데이터!K4:N4)</f>
        <v>37.475000000000001</v>
      </c>
      <c r="F6" s="11">
        <f>AVERAGE(데이터!O4:R4)</f>
        <v>39.349999999999994</v>
      </c>
      <c r="G6" s="11">
        <f t="shared" si="0"/>
        <v>-1.8750000000000071</v>
      </c>
    </row>
    <row r="7" spans="1:7" x14ac:dyDescent="0.6">
      <c r="A7" s="10" t="s">
        <v>23</v>
      </c>
      <c r="B7" s="9" t="s">
        <v>62</v>
      </c>
      <c r="C7" s="11">
        <f>AVERAGE(데이터!C7:F7)</f>
        <v>38.6</v>
      </c>
      <c r="D7" s="11">
        <f>AVERAGE(데이터!G7:J7)</f>
        <v>38.825000000000003</v>
      </c>
      <c r="E7" s="11">
        <f>AVERAGE(데이터!K7:N7)</f>
        <v>38.024999999999999</v>
      </c>
      <c r="F7" s="11">
        <f>AVERAGE(데이터!O7:R7)</f>
        <v>37.975000000000001</v>
      </c>
      <c r="G7" s="11">
        <f t="shared" si="0"/>
        <v>-0.625</v>
      </c>
    </row>
    <row r="10" spans="1:7" x14ac:dyDescent="0.6">
      <c r="A10" s="8" t="s">
        <v>64</v>
      </c>
      <c r="B10" s="8" t="s">
        <v>56</v>
      </c>
      <c r="C10" s="7">
        <v>2022</v>
      </c>
      <c r="D10" s="7">
        <v>2023</v>
      </c>
      <c r="E10" s="7">
        <v>2024</v>
      </c>
      <c r="F10" s="7">
        <v>2025</v>
      </c>
      <c r="G10" s="7" t="s">
        <v>63</v>
      </c>
    </row>
    <row r="11" spans="1:7" x14ac:dyDescent="0.6">
      <c r="A11" s="9" t="s">
        <v>65</v>
      </c>
      <c r="B11" s="9" t="s">
        <v>57</v>
      </c>
      <c r="C11" s="11">
        <f>AVERAGE(C2:C4)</f>
        <v>50.699999999999996</v>
      </c>
      <c r="D11" s="11">
        <f>AVERAGE(D2:D4)</f>
        <v>50.291666666666664</v>
      </c>
      <c r="E11" s="11">
        <f>AVERAGE(E2:E4)</f>
        <v>49.358333333333327</v>
      </c>
      <c r="F11" s="11">
        <f>AVERAGE(F2:F4)</f>
        <v>46.85</v>
      </c>
      <c r="G11" s="11">
        <f>AVERAGE(G2:G4)</f>
        <v>-3.8500000000000063</v>
      </c>
    </row>
    <row r="12" spans="1:7" x14ac:dyDescent="0.6">
      <c r="A12" s="9" t="s">
        <v>66</v>
      </c>
      <c r="B12" s="9" t="s">
        <v>62</v>
      </c>
      <c r="C12" s="11">
        <f>AVERAGE(C5:C7)</f>
        <v>40.608333333333327</v>
      </c>
      <c r="D12" s="11">
        <f>AVERAGE(D5:D7)</f>
        <v>41.68333333333333</v>
      </c>
      <c r="E12" s="11">
        <f>AVERAGE(E5:E7)</f>
        <v>40.541666666666664</v>
      </c>
      <c r="F12" s="11">
        <f>AVERAGE(F5:F7)</f>
        <v>40.474999999999994</v>
      </c>
      <c r="G12" s="11">
        <f>AVERAGE(G5:G7)</f>
        <v>-0.13333333333333522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메타정보</vt:lpstr>
      <vt:lpstr>년도별 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guswn</cp:lastModifiedBy>
  <dcterms:created xsi:type="dcterms:W3CDTF">2026-04-06T08:30:30Z</dcterms:created>
  <dcterms:modified xsi:type="dcterms:W3CDTF">2026-04-07T08:48:14Z</dcterms:modified>
</cp:coreProperties>
</file>